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C Series\ATC_Yocto\Release_temp\v1.1.0.0\"/>
    </mc:Choice>
  </mc:AlternateContent>
  <bookViews>
    <workbookView xWindow="0" yWindow="0" windowWidth="19200" windowHeight="6880" activeTab="1"/>
  </bookViews>
  <sheets>
    <sheet name="ATC356X" sheetId="15" r:id="rId1"/>
    <sheet name="ATC375X" sheetId="20" r:id="rId2"/>
    <sheet name="kernel version" sheetId="19" r:id="rId3"/>
  </sheets>
  <definedNames>
    <definedName name="_xlnm._FilterDatabase" localSheetId="0" hidden="1">ATC356X!$A$2:$J$25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0" l="1"/>
  <c r="C10" i="20"/>
  <c r="G9" i="20"/>
  <c r="C9" i="20"/>
  <c r="G8" i="20"/>
  <c r="C8" i="20"/>
  <c r="G7" i="20"/>
  <c r="C7" i="20"/>
  <c r="G6" i="20"/>
  <c r="C6" i="20"/>
  <c r="G5" i="20"/>
  <c r="C5" i="20"/>
  <c r="G4" i="20"/>
  <c r="C4" i="20"/>
  <c r="G3" i="20"/>
  <c r="C3" i="20"/>
  <c r="G3" i="15" l="1"/>
  <c r="C3" i="15"/>
  <c r="G10" i="15"/>
  <c r="C10" i="15"/>
  <c r="G9" i="15"/>
  <c r="C9" i="15"/>
  <c r="G8" i="15"/>
  <c r="C8" i="15"/>
  <c r="G7" i="15"/>
  <c r="C7" i="15"/>
  <c r="G6" i="15"/>
  <c r="C6" i="15"/>
  <c r="G5" i="15"/>
  <c r="C5" i="15"/>
  <c r="G4" i="15"/>
  <c r="C4" i="15"/>
</calcChain>
</file>

<file path=xl/sharedStrings.xml><?xml version="1.0" encoding="utf-8"?>
<sst xmlns="http://schemas.openxmlformats.org/spreadsheetml/2006/main" count="39" uniqueCount="25">
  <si>
    <t>Date</t>
  </si>
  <si>
    <t>Release note</t>
    <phoneticPr fontId="1" type="noConversion"/>
  </si>
  <si>
    <t>Know issues</t>
    <phoneticPr fontId="1" type="noConversion"/>
  </si>
  <si>
    <t>Other</t>
    <phoneticPr fontId="1" type="noConversion"/>
  </si>
  <si>
    <t>Image Version</t>
    <phoneticPr fontId="1" type="noConversion"/>
  </si>
  <si>
    <t>Jetpack Version</t>
    <phoneticPr fontId="1" type="noConversion"/>
  </si>
  <si>
    <t>SoM</t>
    <phoneticPr fontId="1" type="noConversion"/>
  </si>
  <si>
    <t>Kernel version</t>
    <phoneticPr fontId="1" type="noConversion"/>
  </si>
  <si>
    <t>Jetpack</t>
    <phoneticPr fontId="1" type="noConversion"/>
  </si>
  <si>
    <t>kernel version</t>
    <phoneticPr fontId="1" type="noConversion"/>
  </si>
  <si>
    <t>6.2.1</t>
    <phoneticPr fontId="1" type="noConversion"/>
  </si>
  <si>
    <t>1.2.0.0</t>
    <phoneticPr fontId="1" type="noConversion"/>
  </si>
  <si>
    <t>Orin Nano 4G/8G  Orin NX 8G/16G</t>
  </si>
  <si>
    <t>ATC3560
ATC3561
ATC3562
ATC3563
X80</t>
    <phoneticPr fontId="1" type="noConversion"/>
  </si>
  <si>
    <t>Yocto base</t>
    <phoneticPr fontId="1" type="noConversion"/>
  </si>
  <si>
    <t>Yocto 5.0</t>
  </si>
  <si>
    <t>5.15.148</t>
    <phoneticPr fontId="1" type="noConversion"/>
  </si>
  <si>
    <t>Yocto</t>
    <phoneticPr fontId="1" type="noConversion"/>
  </si>
  <si>
    <t>1.Support machine ATC3560 ATC3561 ATC3562 ATC3563 X80.</t>
    <phoneticPr fontId="1" type="noConversion"/>
  </si>
  <si>
    <t>ATC356X Release notification</t>
    <phoneticPr fontId="2" type="noConversion"/>
  </si>
  <si>
    <t>Machine</t>
    <phoneticPr fontId="1" type="noConversion"/>
  </si>
  <si>
    <t>AGX Orin 32G/64G</t>
  </si>
  <si>
    <t>ATC3750-6C
ATC3750-8M</t>
    <phoneticPr fontId="1" type="noConversion"/>
  </si>
  <si>
    <t>1.1.0.0</t>
    <phoneticPr fontId="1" type="noConversion"/>
  </si>
  <si>
    <t>1.Support machine ATC375x.
2.Applied NVIDIA’s official bug-fix and PCN patches.
*(https://developer.nvidia.com/embedded/jetson-pcn-center)
*( https://forums.developer.nvidia.com/t/jetson-orin-field-bulletin/352003)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</si>
</sst>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6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rgb="FF95B3D7"/>
      </patternFill>
    </fill>
    <fill>
      <patternFill patternType="solid">
        <fgColor theme="0"/>
        <bgColor rgb="FFDCE6F2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74" workbookViewId="0">
      <pane ySplit="2" topLeftCell="A3" activePane="bottomLeft" state="frozen"/>
      <selection pane="bottomLeft" activeCell="B7" sqref="B7"/>
    </sheetView>
  </sheetViews>
  <sheetFormatPr defaultColWidth="9" defaultRowHeight="17" x14ac:dyDescent="0.4"/>
  <cols>
    <col min="1" max="1" width="12.36328125" style="3" bestFit="1" customWidth="1"/>
    <col min="2" max="2" width="20.1796875" style="2" customWidth="1"/>
    <col min="3" max="3" width="14.36328125" style="2" customWidth="1"/>
    <col min="4" max="4" width="20.36328125" style="2" customWidth="1"/>
    <col min="5" max="5" width="13.1796875" style="2" customWidth="1"/>
    <col min="6" max="6" width="18.26953125" style="2" customWidth="1"/>
    <col min="7" max="7" width="21.453125" style="2" customWidth="1"/>
    <col min="8" max="8" width="70.6328125" style="2" customWidth="1"/>
    <col min="9" max="9" width="44.36328125" style="2" bestFit="1" customWidth="1"/>
    <col min="10" max="10" width="11.7265625" style="2" bestFit="1" customWidth="1"/>
    <col min="11" max="16384" width="9" style="2"/>
  </cols>
  <sheetData>
    <row r="1" spans="1:10" s="1" customFormat="1" ht="18" thickTop="1" thickBot="1" x14ac:dyDescent="0.4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8" thickTop="1" thickBot="1" x14ac:dyDescent="0.45">
      <c r="A2" s="7" t="s">
        <v>0</v>
      </c>
      <c r="B2" s="7" t="s">
        <v>5</v>
      </c>
      <c r="C2" s="7" t="s">
        <v>14</v>
      </c>
      <c r="D2" s="7" t="s">
        <v>6</v>
      </c>
      <c r="E2" s="7" t="s">
        <v>20</v>
      </c>
      <c r="F2" s="7" t="s">
        <v>4</v>
      </c>
      <c r="G2" s="7" t="s">
        <v>7</v>
      </c>
      <c r="H2" s="7" t="s">
        <v>1</v>
      </c>
      <c r="I2" s="6" t="s">
        <v>2</v>
      </c>
      <c r="J2" s="7" t="s">
        <v>3</v>
      </c>
    </row>
    <row r="3" spans="1:10" ht="145.5" customHeight="1" thickBot="1" x14ac:dyDescent="0.45">
      <c r="A3" s="10">
        <v>46007</v>
      </c>
      <c r="B3" s="11" t="s">
        <v>10</v>
      </c>
      <c r="C3" s="11" t="str">
        <f>IF(B3="","",VLOOKUP(B3,'kernel version'!A:C,3,FALSE))</f>
        <v>Yocto 5.0</v>
      </c>
      <c r="D3" s="15" t="s">
        <v>12</v>
      </c>
      <c r="E3" s="16" t="s">
        <v>13</v>
      </c>
      <c r="F3" s="11" t="s">
        <v>11</v>
      </c>
      <c r="G3" s="11" t="str">
        <f>IF(B3="","",VLOOKUP(B3,'kernel version'!A:C,2,FALSE))</f>
        <v>5.15.148</v>
      </c>
      <c r="H3" s="12" t="s">
        <v>18</v>
      </c>
      <c r="I3" s="13"/>
      <c r="J3" s="14"/>
    </row>
    <row r="4" spans="1:10" ht="21.5" customHeight="1" thickBot="1" x14ac:dyDescent="0.45">
      <c r="A4" s="10"/>
      <c r="B4" s="11"/>
      <c r="C4" s="11" t="str">
        <f>IF(B4="","",VLOOKUP(B4,'kernel version'!A:C,3,FALSE))</f>
        <v/>
      </c>
      <c r="D4" s="15"/>
      <c r="E4" s="16"/>
      <c r="F4" s="11"/>
      <c r="G4" s="11" t="str">
        <f>IF(B4="","",VLOOKUP(B4,'kernel version'!A:C,2,FALSE))</f>
        <v/>
      </c>
      <c r="H4" s="12"/>
      <c r="I4" s="13"/>
      <c r="J4" s="14"/>
    </row>
    <row r="5" spans="1:10" ht="24" customHeight="1" thickBot="1" x14ac:dyDescent="0.45">
      <c r="A5" s="10"/>
      <c r="B5" s="11"/>
      <c r="C5" s="11" t="str">
        <f>IF(B5="","",VLOOKUP(B5,'kernel version'!A:C,3,FALSE))</f>
        <v/>
      </c>
      <c r="D5" s="15"/>
      <c r="E5" s="16"/>
      <c r="F5" s="11"/>
      <c r="G5" s="11" t="str">
        <f>IF(B5="","",VLOOKUP(B5,'kernel version'!A:C,2,FALSE))</f>
        <v/>
      </c>
      <c r="H5" s="12"/>
      <c r="I5" s="13"/>
      <c r="J5" s="14"/>
    </row>
    <row r="6" spans="1:10" ht="24" customHeight="1" thickBot="1" x14ac:dyDescent="0.45">
      <c r="A6" s="10"/>
      <c r="B6" s="11"/>
      <c r="C6" s="11" t="str">
        <f>IF(B6="","",VLOOKUP(B6,'kernel version'!A:C,3,FALSE))</f>
        <v/>
      </c>
      <c r="D6" s="15"/>
      <c r="E6" s="16"/>
      <c r="F6" s="11"/>
      <c r="G6" s="11" t="str">
        <f>IF(B6="","",VLOOKUP(B6,'kernel version'!A:C,2,FALSE))</f>
        <v/>
      </c>
      <c r="H6" s="12"/>
      <c r="I6" s="13"/>
      <c r="J6" s="14"/>
    </row>
    <row r="7" spans="1:10" ht="24" customHeight="1" thickBot="1" x14ac:dyDescent="0.45">
      <c r="A7" s="10"/>
      <c r="B7" s="11"/>
      <c r="C7" s="11" t="str">
        <f>IF(B7="","",VLOOKUP(B7,'kernel version'!A:C,3,FALSE))</f>
        <v/>
      </c>
      <c r="D7" s="15"/>
      <c r="E7" s="16"/>
      <c r="F7" s="11"/>
      <c r="G7" s="11" t="str">
        <f>IF(B7="","",VLOOKUP(B7,'kernel version'!A:C,2,FALSE))</f>
        <v/>
      </c>
      <c r="H7" s="12"/>
      <c r="I7" s="13"/>
      <c r="J7" s="14"/>
    </row>
    <row r="8" spans="1:10" ht="24" customHeight="1" thickBot="1" x14ac:dyDescent="0.45">
      <c r="A8" s="10"/>
      <c r="B8" s="11"/>
      <c r="C8" s="11" t="str">
        <f>IF(B8="","",VLOOKUP(B8,'kernel version'!A:C,3,FALSE))</f>
        <v/>
      </c>
      <c r="D8" s="15"/>
      <c r="E8" s="16"/>
      <c r="F8" s="11"/>
      <c r="G8" s="11" t="str">
        <f>IF(B8="","",VLOOKUP(B8,'kernel version'!A:C,2,FALSE))</f>
        <v/>
      </c>
      <c r="H8" s="12"/>
      <c r="I8" s="13"/>
      <c r="J8" s="14"/>
    </row>
    <row r="9" spans="1:10" ht="24" customHeight="1" thickBot="1" x14ac:dyDescent="0.45">
      <c r="A9" s="10"/>
      <c r="B9" s="11"/>
      <c r="C9" s="11" t="str">
        <f>IF(B9="","",VLOOKUP(B9,'kernel version'!A:C,3,FALSE))</f>
        <v/>
      </c>
      <c r="D9" s="15"/>
      <c r="E9" s="16"/>
      <c r="F9" s="11"/>
      <c r="G9" s="11" t="str">
        <f>IF(B9="","",VLOOKUP(B9,'kernel version'!A:C,2,FALSE))</f>
        <v/>
      </c>
      <c r="H9" s="12"/>
      <c r="I9" s="13"/>
      <c r="J9" s="14"/>
    </row>
    <row r="10" spans="1:10" ht="24" customHeight="1" thickBot="1" x14ac:dyDescent="0.45">
      <c r="A10" s="10"/>
      <c r="B10" s="11"/>
      <c r="C10" s="11" t="str">
        <f>IF(B10="","",VLOOKUP(B10,'kernel version'!A:C,3,FALSE))</f>
        <v/>
      </c>
      <c r="D10" s="15"/>
      <c r="E10" s="16"/>
      <c r="F10" s="11"/>
      <c r="G10" s="11" t="str">
        <f>IF(B10="","",VLOOKUP(B10,'kernel version'!A:C,2,FALSE))</f>
        <v/>
      </c>
      <c r="H10" s="12"/>
      <c r="I10" s="13"/>
      <c r="J10" s="14"/>
    </row>
    <row r="11" spans="1:10" ht="24" customHeight="1" x14ac:dyDescent="0.4">
      <c r="A11" s="2"/>
    </row>
    <row r="12" spans="1:10" ht="24" customHeight="1" x14ac:dyDescent="0.4">
      <c r="A12" s="2"/>
    </row>
    <row r="13" spans="1:10" ht="24" customHeight="1" x14ac:dyDescent="0.4">
      <c r="A13" s="2"/>
    </row>
    <row r="14" spans="1:10" ht="24" customHeight="1" x14ac:dyDescent="0.4">
      <c r="A14" s="2"/>
    </row>
    <row r="15" spans="1:10" ht="24" customHeight="1" x14ac:dyDescent="0.4">
      <c r="A15" s="2"/>
    </row>
    <row r="16" spans="1:10" ht="24" customHeight="1" x14ac:dyDescent="0.4">
      <c r="A16" s="2"/>
    </row>
    <row r="17" spans="1:5" ht="24" customHeight="1" x14ac:dyDescent="0.4"/>
    <row r="18" spans="1:5" ht="24" customHeight="1" x14ac:dyDescent="0.4"/>
    <row r="19" spans="1:5" ht="24" customHeight="1" x14ac:dyDescent="0.4"/>
    <row r="20" spans="1:5" ht="24" customHeight="1" x14ac:dyDescent="0.4"/>
    <row r="21" spans="1:5" ht="24" customHeight="1" x14ac:dyDescent="0.4">
      <c r="A21" s="8"/>
      <c r="B21" s="9"/>
      <c r="C21" s="9"/>
      <c r="D21" s="8"/>
      <c r="E21" s="8"/>
    </row>
    <row r="22" spans="1:5" ht="24" customHeight="1" x14ac:dyDescent="0.4">
      <c r="A22" s="8"/>
      <c r="B22" s="9"/>
      <c r="C22" s="9"/>
      <c r="D22" s="8"/>
      <c r="E22" s="8"/>
    </row>
    <row r="23" spans="1:5" ht="24" customHeight="1" x14ac:dyDescent="0.4">
      <c r="A23" s="8"/>
      <c r="B23" s="9"/>
      <c r="C23" s="9"/>
      <c r="D23" s="8"/>
      <c r="E23" s="8"/>
    </row>
    <row r="24" spans="1:5" ht="24" customHeight="1" x14ac:dyDescent="0.4">
      <c r="A24" s="8"/>
      <c r="B24" s="9"/>
      <c r="C24" s="9"/>
      <c r="D24" s="8"/>
      <c r="E24" s="8"/>
    </row>
    <row r="25" spans="1:5" ht="24" customHeight="1" x14ac:dyDescent="0.4">
      <c r="A25" s="8"/>
      <c r="B25" s="9"/>
      <c r="C25" s="9"/>
      <c r="D25" s="8"/>
      <c r="E25" s="8"/>
    </row>
    <row r="26" spans="1:5" ht="24" customHeight="1" x14ac:dyDescent="0.4">
      <c r="A26" s="2"/>
    </row>
    <row r="27" spans="1:5" ht="24" customHeight="1" x14ac:dyDescent="0.4"/>
    <row r="28" spans="1:5" ht="24" customHeight="1" x14ac:dyDescent="0.4"/>
    <row r="29" spans="1:5" ht="24" customHeight="1" x14ac:dyDescent="0.4"/>
    <row r="30" spans="1:5" ht="24" customHeight="1" x14ac:dyDescent="0.4"/>
    <row r="31" spans="1:5" ht="24" customHeight="1" x14ac:dyDescent="0.4"/>
    <row r="32" spans="1:5" ht="24" customHeight="1" x14ac:dyDescent="0.4"/>
    <row r="33" ht="24" customHeight="1" x14ac:dyDescent="0.4"/>
  </sheetData>
  <mergeCells count="1">
    <mergeCell ref="A1:J1"/>
  </mergeCells>
  <phoneticPr fontId="1" type="noConversion"/>
  <dataValidations count="3">
    <dataValidation type="list" allowBlank="1" showInputMessage="1" showErrorMessage="1" sqref="E21:E25">
      <formula1>"Orin NX 8G,Orin NX 16G,Orin NX 8G/16G"</formula1>
    </dataValidation>
    <dataValidation type="list" allowBlank="1" showInputMessage="1" showErrorMessage="1" sqref="D1:D1048576">
      <formula1>"Orin Nano 4G/8G,Orin NX 8G/16G,Orin Nano 4G/8G  Orin NX 8G/16G"</formula1>
    </dataValidation>
    <dataValidation type="list" allowBlank="1" showInputMessage="1" showErrorMessage="1" sqref="B1:B1048576">
      <formula1>"6.2.1"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D6" sqref="D6"/>
    </sheetView>
  </sheetViews>
  <sheetFormatPr defaultColWidth="9" defaultRowHeight="17" x14ac:dyDescent="0.4"/>
  <cols>
    <col min="1" max="1" width="12.36328125" style="3" bestFit="1" customWidth="1"/>
    <col min="2" max="2" width="20.1796875" style="2" customWidth="1"/>
    <col min="3" max="3" width="14.36328125" style="2" customWidth="1"/>
    <col min="4" max="4" width="20.36328125" style="2" customWidth="1"/>
    <col min="5" max="5" width="16.36328125" style="2" customWidth="1"/>
    <col min="6" max="6" width="18.26953125" style="2" customWidth="1"/>
    <col min="7" max="7" width="21.453125" style="2" customWidth="1"/>
    <col min="8" max="8" width="70.6328125" style="2" customWidth="1"/>
    <col min="9" max="9" width="44.36328125" style="2" bestFit="1" customWidth="1"/>
    <col min="10" max="10" width="11.7265625" style="2" bestFit="1" customWidth="1"/>
    <col min="11" max="16384" width="9" style="2"/>
  </cols>
  <sheetData>
    <row r="1" spans="1:10" s="1" customFormat="1" ht="18" thickTop="1" thickBot="1" x14ac:dyDescent="0.4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8" thickTop="1" thickBot="1" x14ac:dyDescent="0.45">
      <c r="A2" s="7" t="s">
        <v>0</v>
      </c>
      <c r="B2" s="7" t="s">
        <v>5</v>
      </c>
      <c r="C2" s="7" t="s">
        <v>14</v>
      </c>
      <c r="D2" s="7" t="s">
        <v>6</v>
      </c>
      <c r="E2" s="7" t="s">
        <v>20</v>
      </c>
      <c r="F2" s="7" t="s">
        <v>4</v>
      </c>
      <c r="G2" s="7" t="s">
        <v>7</v>
      </c>
      <c r="H2" s="7" t="s">
        <v>1</v>
      </c>
      <c r="I2" s="6" t="s">
        <v>2</v>
      </c>
      <c r="J2" s="7" t="s">
        <v>3</v>
      </c>
    </row>
    <row r="3" spans="1:10" ht="78" thickBot="1" x14ac:dyDescent="0.45">
      <c r="A3" s="10">
        <v>46024</v>
      </c>
      <c r="B3" s="11">
        <v>6.1</v>
      </c>
      <c r="C3" s="11" t="str">
        <f>IF(B3="","",VLOOKUP(B3,'kernel version'!A:C,3,FALSE))</f>
        <v>Yocto 5.0</v>
      </c>
      <c r="D3" s="15" t="s">
        <v>21</v>
      </c>
      <c r="E3" s="16" t="s">
        <v>22</v>
      </c>
      <c r="F3" s="11" t="s">
        <v>23</v>
      </c>
      <c r="G3" s="11" t="str">
        <f>IF(B3="","",VLOOKUP(B3,'kernel version'!A:C,2,FALSE))</f>
        <v>5.15.148</v>
      </c>
      <c r="H3" s="12" t="s">
        <v>24</v>
      </c>
      <c r="I3" s="13"/>
      <c r="J3" s="14"/>
    </row>
    <row r="4" spans="1:10" ht="21.5" customHeight="1" thickBot="1" x14ac:dyDescent="0.45">
      <c r="A4" s="10"/>
      <c r="B4" s="11"/>
      <c r="C4" s="11" t="str">
        <f>IF(B4="","",VLOOKUP(B4,'kernel version'!A:C,3,FALSE))</f>
        <v/>
      </c>
      <c r="D4" s="15"/>
      <c r="E4" s="16"/>
      <c r="F4" s="11"/>
      <c r="G4" s="11" t="str">
        <f>IF(B4="","",VLOOKUP(B4,'kernel version'!A:C,2,FALSE))</f>
        <v/>
      </c>
      <c r="H4" s="12"/>
      <c r="I4" s="13"/>
      <c r="J4" s="14"/>
    </row>
    <row r="5" spans="1:10" ht="24" customHeight="1" thickBot="1" x14ac:dyDescent="0.45">
      <c r="A5" s="10"/>
      <c r="B5" s="11"/>
      <c r="C5" s="11" t="str">
        <f>IF(B5="","",VLOOKUP(B5,'kernel version'!A:C,3,FALSE))</f>
        <v/>
      </c>
      <c r="D5" s="15"/>
      <c r="E5" s="16"/>
      <c r="F5" s="11"/>
      <c r="G5" s="11" t="str">
        <f>IF(B5="","",VLOOKUP(B5,'kernel version'!A:C,2,FALSE))</f>
        <v/>
      </c>
      <c r="H5" s="12"/>
      <c r="I5" s="13"/>
      <c r="J5" s="14"/>
    </row>
    <row r="6" spans="1:10" ht="24" customHeight="1" thickBot="1" x14ac:dyDescent="0.45">
      <c r="A6" s="10"/>
      <c r="B6" s="11"/>
      <c r="C6" s="11" t="str">
        <f>IF(B6="","",VLOOKUP(B6,'kernel version'!A:C,3,FALSE))</f>
        <v/>
      </c>
      <c r="D6" s="15"/>
      <c r="E6" s="16"/>
      <c r="F6" s="11"/>
      <c r="G6" s="11" t="str">
        <f>IF(B6="","",VLOOKUP(B6,'kernel version'!A:C,2,FALSE))</f>
        <v/>
      </c>
      <c r="H6" s="12"/>
      <c r="I6" s="13"/>
      <c r="J6" s="14"/>
    </row>
    <row r="7" spans="1:10" ht="24" customHeight="1" thickBot="1" x14ac:dyDescent="0.45">
      <c r="A7" s="10"/>
      <c r="B7" s="11"/>
      <c r="C7" s="11" t="str">
        <f>IF(B7="","",VLOOKUP(B7,'kernel version'!A:C,3,FALSE))</f>
        <v/>
      </c>
      <c r="D7" s="15"/>
      <c r="E7" s="16"/>
      <c r="F7" s="11"/>
      <c r="G7" s="11" t="str">
        <f>IF(B7="","",VLOOKUP(B7,'kernel version'!A:C,2,FALSE))</f>
        <v/>
      </c>
      <c r="H7" s="12"/>
      <c r="I7" s="13"/>
      <c r="J7" s="14"/>
    </row>
    <row r="8" spans="1:10" ht="24" customHeight="1" thickBot="1" x14ac:dyDescent="0.45">
      <c r="A8" s="10"/>
      <c r="B8" s="11"/>
      <c r="C8" s="11" t="str">
        <f>IF(B8="","",VLOOKUP(B8,'kernel version'!A:C,3,FALSE))</f>
        <v/>
      </c>
      <c r="D8" s="15"/>
      <c r="E8" s="16"/>
      <c r="F8" s="11"/>
      <c r="G8" s="11" t="str">
        <f>IF(B8="","",VLOOKUP(B8,'kernel version'!A:C,2,FALSE))</f>
        <v/>
      </c>
      <c r="H8" s="12"/>
      <c r="I8" s="13"/>
      <c r="J8" s="14"/>
    </row>
    <row r="9" spans="1:10" ht="24" customHeight="1" thickBot="1" x14ac:dyDescent="0.45">
      <c r="A9" s="10"/>
      <c r="B9" s="11"/>
      <c r="C9" s="11" t="str">
        <f>IF(B9="","",VLOOKUP(B9,'kernel version'!A:C,3,FALSE))</f>
        <v/>
      </c>
      <c r="D9" s="15"/>
      <c r="E9" s="16"/>
      <c r="F9" s="11"/>
      <c r="G9" s="11" t="str">
        <f>IF(B9="","",VLOOKUP(B9,'kernel version'!A:C,2,FALSE))</f>
        <v/>
      </c>
      <c r="H9" s="12"/>
      <c r="I9" s="13"/>
      <c r="J9" s="14"/>
    </row>
    <row r="10" spans="1:10" ht="24" customHeight="1" thickBot="1" x14ac:dyDescent="0.45">
      <c r="A10" s="10"/>
      <c r="B10" s="11"/>
      <c r="C10" s="11" t="str">
        <f>IF(B10="","",VLOOKUP(B10,'kernel version'!A:C,3,FALSE))</f>
        <v/>
      </c>
      <c r="D10" s="15"/>
      <c r="E10" s="16"/>
      <c r="F10" s="11"/>
      <c r="G10" s="11" t="str">
        <f>IF(B10="","",VLOOKUP(B10,'kernel version'!A:C,2,FALSE))</f>
        <v/>
      </c>
      <c r="H10" s="12"/>
      <c r="I10" s="13"/>
      <c r="J10" s="14"/>
    </row>
    <row r="11" spans="1:10" ht="24" customHeight="1" x14ac:dyDescent="0.4">
      <c r="A11" s="2"/>
    </row>
    <row r="12" spans="1:10" ht="24" customHeight="1" x14ac:dyDescent="0.4">
      <c r="A12" s="2"/>
    </row>
    <row r="13" spans="1:10" ht="24" customHeight="1" x14ac:dyDescent="0.4">
      <c r="A13" s="2"/>
    </row>
    <row r="14" spans="1:10" ht="24" customHeight="1" x14ac:dyDescent="0.4">
      <c r="A14" s="2"/>
    </row>
    <row r="15" spans="1:10" ht="24" customHeight="1" x14ac:dyDescent="0.4">
      <c r="A15" s="2"/>
    </row>
    <row r="16" spans="1:10" ht="24" customHeight="1" x14ac:dyDescent="0.4">
      <c r="A16" s="2"/>
    </row>
    <row r="17" spans="1:5" ht="24" customHeight="1" x14ac:dyDescent="0.4"/>
    <row r="18" spans="1:5" ht="24" customHeight="1" x14ac:dyDescent="0.4"/>
    <row r="19" spans="1:5" ht="24" customHeight="1" x14ac:dyDescent="0.4"/>
    <row r="20" spans="1:5" ht="24" customHeight="1" x14ac:dyDescent="0.4"/>
    <row r="21" spans="1:5" ht="24" customHeight="1" x14ac:dyDescent="0.4">
      <c r="A21" s="8"/>
      <c r="B21" s="9"/>
      <c r="C21" s="9"/>
      <c r="D21" s="8"/>
      <c r="E21" s="8"/>
    </row>
    <row r="22" spans="1:5" ht="24" customHeight="1" x14ac:dyDescent="0.4">
      <c r="A22" s="8"/>
      <c r="B22" s="9"/>
      <c r="C22" s="9"/>
      <c r="D22" s="8"/>
      <c r="E22" s="8"/>
    </row>
    <row r="23" spans="1:5" ht="24" customHeight="1" x14ac:dyDescent="0.4">
      <c r="A23" s="8"/>
      <c r="B23" s="9"/>
      <c r="C23" s="9"/>
      <c r="D23" s="8"/>
      <c r="E23" s="8"/>
    </row>
    <row r="24" spans="1:5" ht="24" customHeight="1" x14ac:dyDescent="0.4">
      <c r="A24" s="8"/>
      <c r="B24" s="9"/>
      <c r="C24" s="9"/>
      <c r="D24" s="8"/>
      <c r="E24" s="8"/>
    </row>
    <row r="25" spans="1:5" ht="24" customHeight="1" x14ac:dyDescent="0.4">
      <c r="A25" s="8"/>
      <c r="B25" s="9"/>
      <c r="C25" s="9"/>
      <c r="D25" s="8"/>
      <c r="E25" s="8"/>
    </row>
    <row r="26" spans="1:5" ht="24" customHeight="1" x14ac:dyDescent="0.4">
      <c r="A26" s="2"/>
    </row>
    <row r="27" spans="1:5" ht="24" customHeight="1" x14ac:dyDescent="0.4"/>
    <row r="28" spans="1:5" ht="24" customHeight="1" x14ac:dyDescent="0.4"/>
    <row r="29" spans="1:5" ht="24" customHeight="1" x14ac:dyDescent="0.4"/>
    <row r="30" spans="1:5" ht="24" customHeight="1" x14ac:dyDescent="0.4"/>
    <row r="31" spans="1:5" ht="24" customHeight="1" x14ac:dyDescent="0.4"/>
    <row r="32" spans="1:5" ht="24" customHeight="1" x14ac:dyDescent="0.4"/>
    <row r="33" ht="24" customHeight="1" x14ac:dyDescent="0.4"/>
  </sheetData>
  <mergeCells count="1">
    <mergeCell ref="A1:J1"/>
  </mergeCells>
  <phoneticPr fontId="1" type="noConversion"/>
  <dataValidations count="5">
    <dataValidation type="list" allowBlank="1" showInputMessage="1" showErrorMessage="1" sqref="B1:B2 B4:B1048576">
      <formula1>"6.2.1"</formula1>
    </dataValidation>
    <dataValidation type="list" allowBlank="1" showInputMessage="1" showErrorMessage="1" sqref="D1:D2 D4:D1048576">
      <formula1>"Orin Nano 4G/8G,Orin NX 8G/16G,Orin Nano 4G/8G  Orin NX 8G/16G"</formula1>
    </dataValidation>
    <dataValidation type="list" allowBlank="1" showInputMessage="1" showErrorMessage="1" sqref="E21:E25">
      <formula1>"Orin NX 8G,Orin NX 16G,Orin NX 8G/16G"</formula1>
    </dataValidation>
    <dataValidation type="list" allowBlank="1" showInputMessage="1" showErrorMessage="1" sqref="B3">
      <formula1>"6.1"</formula1>
    </dataValidation>
    <dataValidation type="list" allowBlank="1" showInputMessage="1" showErrorMessage="1" sqref="D3">
      <formula1>"AGX Orin 32G/64G"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7" x14ac:dyDescent="0.4"/>
  <cols>
    <col min="1" max="1" width="9.26953125" style="4" customWidth="1"/>
    <col min="2" max="2" width="19.1796875" style="4" customWidth="1"/>
    <col min="3" max="3" width="11" customWidth="1"/>
  </cols>
  <sheetData>
    <row r="1" spans="1:3" ht="21.5" x14ac:dyDescent="0.4">
      <c r="A1" s="5" t="s">
        <v>8</v>
      </c>
      <c r="B1" s="5" t="s">
        <v>9</v>
      </c>
      <c r="C1" s="5" t="s">
        <v>17</v>
      </c>
    </row>
    <row r="2" spans="1:3" x14ac:dyDescent="0.4">
      <c r="A2" s="4" t="s">
        <v>10</v>
      </c>
      <c r="B2" s="4" t="s">
        <v>16</v>
      </c>
      <c r="C2" s="4" t="s">
        <v>15</v>
      </c>
    </row>
    <row r="3" spans="1:3" x14ac:dyDescent="0.4">
      <c r="A3" s="4">
        <v>6.1</v>
      </c>
      <c r="B3" s="4" t="s">
        <v>16</v>
      </c>
      <c r="C3" s="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ATC356X</vt:lpstr>
      <vt:lpstr>ATC375X</vt:lpstr>
      <vt:lpstr>kernel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Ke[柯佑勳]</dc:creator>
  <cp:keywords/>
  <dc:description/>
  <cp:lastModifiedBy>Leo Wang</cp:lastModifiedBy>
  <cp:revision/>
  <dcterms:created xsi:type="dcterms:W3CDTF">2018-07-18T06:39:14Z</dcterms:created>
  <dcterms:modified xsi:type="dcterms:W3CDTF">2026-01-02T07:24:04Z</dcterms:modified>
  <cp:category/>
  <cp:contentStatus/>
</cp:coreProperties>
</file>